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x/Github/phd_pect/Doc/"/>
    </mc:Choice>
  </mc:AlternateContent>
  <xr:revisionPtr revIDLastSave="0" documentId="13_ncr:1_{3E007DC6-0478-7042-86D8-78C9044C9644}" xr6:coauthVersionLast="47" xr6:coauthVersionMax="47" xr10:uidLastSave="{00000000-0000-0000-0000-000000000000}"/>
  <bookViews>
    <workbookView xWindow="380" yWindow="500" windowWidth="28040" windowHeight="15880" xr2:uid="{EEE26B64-0FD6-9348-ABAD-FA16C0D78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C28" i="1"/>
  <c r="C18" i="1"/>
  <c r="C19" i="1"/>
  <c r="C20" i="1"/>
  <c r="C21" i="1"/>
  <c r="C22" i="1"/>
  <c r="C23" i="1"/>
  <c r="C24" i="1"/>
  <c r="C25" i="1"/>
  <c r="C26" i="1"/>
  <c r="C27" i="1"/>
  <c r="C17" i="1"/>
  <c r="M2" i="1"/>
  <c r="M3" i="1" s="1"/>
  <c r="M1" i="1"/>
</calcChain>
</file>

<file path=xl/sharedStrings.xml><?xml version="1.0" encoding="utf-8"?>
<sst xmlns="http://schemas.openxmlformats.org/spreadsheetml/2006/main" count="12" uniqueCount="9">
  <si>
    <t>Clock Prescaler</t>
  </si>
  <si>
    <t>Sampling Time (Cycle)</t>
  </si>
  <si>
    <t>Resolution</t>
  </si>
  <si>
    <t>Conversion Time (Cycle)</t>
  </si>
  <si>
    <t>Coversion Time (Cycle)</t>
  </si>
  <si>
    <t>ADC Frequency (MHz)</t>
  </si>
  <si>
    <t>Samples</t>
  </si>
  <si>
    <t>Trigger Frequency (Hz)</t>
  </si>
  <si>
    <t>Sample Rate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</si>
</sst>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1" fontId="0" fillId="0" borderId="0" xfId="1" applyFont="1"/>
    <xf numFmtId="41" fontId="0" fillId="0" borderId="0" xfId="1" applyFont="1" applyFill="1"/>
    <xf numFmtId="43" fontId="0" fillId="0" borderId="0" xfId="0" applyNumberFormat="1"/>
    <xf numFmtId="0" fontId="2" fillId="2" borderId="1" xfId="0" applyFont="1" applyFill="1" applyBorder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E5CF2-D237-F04E-9CE0-4DE4E4A1F986}" name="Table1" displayName="Table1" ref="B1:B13" totalsRowShown="0">
  <autoFilter ref="B1:B13" xr:uid="{4F8E5CF2-D237-F04E-9CE0-4DE4E4A1F986}"/>
  <tableColumns count="1">
    <tableColumn id="1" xr3:uid="{823A3FCD-C2A8-D742-96F8-F9EE294A6595}" name="Clock Presca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6C1B9-D86A-044A-ACC2-AAA1FC04C5CC}" name="Table2" displayName="Table2" ref="D1:D9" totalsRowShown="0">
  <autoFilter ref="D1:D9" xr:uid="{1156C1B9-D86A-044A-ACC2-AAA1FC04C5CC}"/>
  <tableColumns count="1">
    <tableColumn id="1" xr3:uid="{E24958E1-A163-1E44-B99A-B17736364087}" name="Sampling Time (Cycl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8698D-E2F4-AB47-820F-EACB2C030A0E}" name="Table3" displayName="Table3" ref="F1:G5" totalsRowShown="0">
  <autoFilter ref="F1:G5" xr:uid="{FA58698D-E2F4-AB47-820F-EACB2C030A0E}"/>
  <tableColumns count="2">
    <tableColumn id="1" xr3:uid="{DE07AE7B-D5E2-B94F-9271-0BA23BB9BC96}" name="Resolution"/>
    <tableColumn id="2" xr3:uid="{96B9241C-719C-004B-8FB0-060CF0470999}" name="Conversion Time (Cycl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DA31-9BE7-6544-8E92-3022906EBAF2}">
  <dimension ref="B1:M28"/>
  <sheetViews>
    <sheetView tabSelected="1" zoomScale="90" zoomScaleNormal="90" workbookViewId="0">
      <selection activeCell="J3" sqref="J3"/>
    </sheetView>
  </sheetViews>
  <sheetFormatPr baseColWidth="10" defaultRowHeight="16" x14ac:dyDescent="0.2"/>
  <cols>
    <col min="1" max="1" width="4.5" customWidth="1"/>
    <col min="2" max="2" width="17" bestFit="1" customWidth="1"/>
    <col min="3" max="3" width="11.33203125" bestFit="1" customWidth="1"/>
    <col min="4" max="4" width="22.83203125" bestFit="1" customWidth="1"/>
    <col min="5" max="5" width="11.33203125" bestFit="1" customWidth="1"/>
    <col min="6" max="6" width="13.33203125" bestFit="1" customWidth="1"/>
    <col min="7" max="7" width="24.6640625" bestFit="1" customWidth="1"/>
    <col min="8" max="8" width="9.6640625" bestFit="1" customWidth="1"/>
    <col min="9" max="9" width="20.33203125" bestFit="1" customWidth="1"/>
    <col min="10" max="10" width="8.5" bestFit="1" customWidth="1"/>
    <col min="11" max="11" width="4.6640625" customWidth="1"/>
    <col min="12" max="12" width="20.1640625" bestFit="1" customWidth="1"/>
    <col min="13" max="13" width="11.5" customWidth="1"/>
    <col min="14" max="14" width="4.1640625" customWidth="1"/>
    <col min="15" max="15" width="4.1640625" bestFit="1" customWidth="1"/>
    <col min="16" max="18" width="10.5" bestFit="1" customWidth="1"/>
    <col min="19" max="19" width="14" bestFit="1" customWidth="1"/>
    <col min="20" max="20" width="5.1640625" bestFit="1" customWidth="1"/>
    <col min="21" max="21" width="7" bestFit="1" customWidth="1"/>
    <col min="22" max="22" width="15" bestFit="1" customWidth="1"/>
    <col min="23" max="23" width="8" bestFit="1" customWidth="1"/>
  </cols>
  <sheetData>
    <row r="1" spans="2:13" x14ac:dyDescent="0.2">
      <c r="B1" t="s">
        <v>0</v>
      </c>
      <c r="D1" t="s">
        <v>1</v>
      </c>
      <c r="F1" t="s">
        <v>2</v>
      </c>
      <c r="G1" t="s">
        <v>3</v>
      </c>
      <c r="I1" s="1" t="s">
        <v>5</v>
      </c>
      <c r="J1">
        <v>64</v>
      </c>
      <c r="L1" s="1" t="s">
        <v>4</v>
      </c>
      <c r="M1">
        <f>VLOOKUP(J4,Table3[],2)</f>
        <v>8.5</v>
      </c>
    </row>
    <row r="2" spans="2:13" x14ac:dyDescent="0.2">
      <c r="B2">
        <v>1</v>
      </c>
      <c r="D2">
        <v>2.5</v>
      </c>
      <c r="F2">
        <v>6</v>
      </c>
      <c r="G2">
        <v>6.5</v>
      </c>
      <c r="I2" s="1" t="s">
        <v>0</v>
      </c>
      <c r="J2">
        <v>64</v>
      </c>
      <c r="K2" s="1"/>
      <c r="L2" s="1" t="s">
        <v>8</v>
      </c>
      <c r="M2" s="2">
        <f>J1/J2/(J3+M1)*1000000</f>
        <v>66666.666666666672</v>
      </c>
    </row>
    <row r="3" spans="2:13" x14ac:dyDescent="0.2">
      <c r="B3">
        <v>2</v>
      </c>
      <c r="D3">
        <v>6.5</v>
      </c>
      <c r="F3">
        <v>8</v>
      </c>
      <c r="G3">
        <v>8.5</v>
      </c>
      <c r="I3" s="1" t="s">
        <v>1</v>
      </c>
      <c r="J3">
        <v>6.5</v>
      </c>
      <c r="K3" s="1"/>
      <c r="L3" s="1" t="s">
        <v>6</v>
      </c>
      <c r="M3" s="4">
        <f>M2/J5</f>
        <v>333.33333333333337</v>
      </c>
    </row>
    <row r="4" spans="2:13" x14ac:dyDescent="0.2">
      <c r="B4">
        <v>4</v>
      </c>
      <c r="D4">
        <v>12.5</v>
      </c>
      <c r="F4">
        <v>10</v>
      </c>
      <c r="G4">
        <v>10.5</v>
      </c>
      <c r="I4" s="1" t="s">
        <v>2</v>
      </c>
      <c r="J4">
        <v>8</v>
      </c>
      <c r="K4" s="1"/>
      <c r="L4" s="1"/>
      <c r="M4" s="1"/>
    </row>
    <row r="5" spans="2:13" x14ac:dyDescent="0.2">
      <c r="B5">
        <v>6</v>
      </c>
      <c r="D5">
        <v>24.5</v>
      </c>
      <c r="F5">
        <v>12</v>
      </c>
      <c r="G5">
        <v>12.5</v>
      </c>
      <c r="I5" s="1" t="s">
        <v>7</v>
      </c>
      <c r="J5">
        <v>200</v>
      </c>
    </row>
    <row r="6" spans="2:13" x14ac:dyDescent="0.2">
      <c r="B6">
        <v>8</v>
      </c>
      <c r="D6">
        <v>47.5</v>
      </c>
      <c r="I6" s="1"/>
      <c r="K6" s="3"/>
      <c r="L6" s="3"/>
      <c r="M6" s="3"/>
    </row>
    <row r="7" spans="2:13" x14ac:dyDescent="0.2">
      <c r="B7">
        <v>10</v>
      </c>
      <c r="D7">
        <v>92.5</v>
      </c>
    </row>
    <row r="8" spans="2:13" x14ac:dyDescent="0.2">
      <c r="B8">
        <v>12</v>
      </c>
      <c r="D8">
        <v>247.5</v>
      </c>
    </row>
    <row r="9" spans="2:13" x14ac:dyDescent="0.2">
      <c r="B9">
        <v>16</v>
      </c>
      <c r="D9">
        <v>640.5</v>
      </c>
    </row>
    <row r="10" spans="2:13" x14ac:dyDescent="0.2">
      <c r="B10">
        <v>32</v>
      </c>
    </row>
    <row r="11" spans="2:13" x14ac:dyDescent="0.2">
      <c r="B11">
        <v>64</v>
      </c>
    </row>
    <row r="12" spans="2:13" x14ac:dyDescent="0.2">
      <c r="B12">
        <v>128</v>
      </c>
    </row>
    <row r="13" spans="2:13" x14ac:dyDescent="0.2">
      <c r="B13">
        <v>256</v>
      </c>
    </row>
    <row r="16" spans="2:13" x14ac:dyDescent="0.2">
      <c r="B16" s="5"/>
      <c r="C16" s="5">
        <v>2.5</v>
      </c>
      <c r="D16" s="5">
        <v>6.5</v>
      </c>
      <c r="E16" s="5">
        <v>12.5</v>
      </c>
      <c r="F16" s="5">
        <v>24.5</v>
      </c>
      <c r="G16" s="5">
        <v>47.5</v>
      </c>
      <c r="H16" s="5">
        <v>92.5</v>
      </c>
      <c r="I16" s="5">
        <v>247.5</v>
      </c>
      <c r="J16" s="5">
        <v>640.5</v>
      </c>
    </row>
    <row r="17" spans="2:10" x14ac:dyDescent="0.2">
      <c r="B17" s="5">
        <v>1</v>
      </c>
      <c r="C17" s="6">
        <f>$J$1/$B17/(C$16+$M$1)*1000000</f>
        <v>5818181.8181818184</v>
      </c>
      <c r="D17" s="6">
        <f t="shared" ref="D17:I17" si="0">$J$1/$B17/(D$16+$M$1)*1000000</f>
        <v>4266666.666666667</v>
      </c>
      <c r="E17" s="6">
        <f t="shared" si="0"/>
        <v>3047619.0476190476</v>
      </c>
      <c r="F17" s="6">
        <f t="shared" si="0"/>
        <v>1939393.9393939395</v>
      </c>
      <c r="G17" s="6">
        <f t="shared" si="0"/>
        <v>1142857.1428571427</v>
      </c>
      <c r="H17" s="6">
        <f t="shared" si="0"/>
        <v>633663.36633663368</v>
      </c>
      <c r="I17" s="6">
        <f t="shared" si="0"/>
        <v>250000</v>
      </c>
      <c r="J17" s="6">
        <f>$J$1/$B17/(J$16+$M$1)*1000000</f>
        <v>98613.251155624035</v>
      </c>
    </row>
    <row r="18" spans="2:10" x14ac:dyDescent="0.2">
      <c r="B18" s="5">
        <v>2</v>
      </c>
      <c r="C18" s="6">
        <f t="shared" ref="C18:J28" si="1">$J$1/$B18/(C$16+$M$1)*1000000</f>
        <v>2909090.9090909092</v>
      </c>
      <c r="D18" s="6">
        <f t="shared" si="1"/>
        <v>2133333.3333333335</v>
      </c>
      <c r="E18" s="6">
        <f t="shared" si="1"/>
        <v>1523809.5238095238</v>
      </c>
      <c r="F18" s="6">
        <f t="shared" si="1"/>
        <v>969696.96969696973</v>
      </c>
      <c r="G18" s="6">
        <f t="shared" si="1"/>
        <v>571428.57142857136</v>
      </c>
      <c r="H18" s="6">
        <f t="shared" si="1"/>
        <v>316831.68316831684</v>
      </c>
      <c r="I18" s="6">
        <f t="shared" si="1"/>
        <v>125000</v>
      </c>
      <c r="J18" s="6">
        <f t="shared" si="1"/>
        <v>49306.625577812018</v>
      </c>
    </row>
    <row r="19" spans="2:10" x14ac:dyDescent="0.2">
      <c r="B19" s="5">
        <v>4</v>
      </c>
      <c r="C19" s="6">
        <f t="shared" si="1"/>
        <v>1454545.4545454546</v>
      </c>
      <c r="D19" s="6">
        <f t="shared" si="1"/>
        <v>1066666.6666666667</v>
      </c>
      <c r="E19" s="6">
        <f t="shared" si="1"/>
        <v>761904.76190476189</v>
      </c>
      <c r="F19" s="6">
        <f t="shared" si="1"/>
        <v>484848.48484848486</v>
      </c>
      <c r="G19" s="6">
        <f t="shared" si="1"/>
        <v>285714.28571428568</v>
      </c>
      <c r="H19" s="6">
        <f t="shared" si="1"/>
        <v>158415.84158415842</v>
      </c>
      <c r="I19" s="6">
        <f t="shared" si="1"/>
        <v>62500</v>
      </c>
      <c r="J19" s="6">
        <f t="shared" si="1"/>
        <v>24653.312788906009</v>
      </c>
    </row>
    <row r="20" spans="2:10" x14ac:dyDescent="0.2">
      <c r="B20" s="5">
        <v>6</v>
      </c>
      <c r="C20" s="6">
        <f t="shared" si="1"/>
        <v>969696.96969696961</v>
      </c>
      <c r="D20" s="6">
        <f t="shared" si="1"/>
        <v>711111.11111111101</v>
      </c>
      <c r="E20" s="6">
        <f t="shared" si="1"/>
        <v>507936.50793650793</v>
      </c>
      <c r="F20" s="6">
        <f t="shared" si="1"/>
        <v>323232.32323232322</v>
      </c>
      <c r="G20" s="6">
        <f t="shared" si="1"/>
        <v>190476.19047619047</v>
      </c>
      <c r="H20" s="6">
        <f t="shared" si="1"/>
        <v>105610.56105610559</v>
      </c>
      <c r="I20" s="6">
        <f t="shared" si="1"/>
        <v>41666.666666666664</v>
      </c>
      <c r="J20" s="6">
        <f t="shared" si="1"/>
        <v>16435.541859270674</v>
      </c>
    </row>
    <row r="21" spans="2:10" x14ac:dyDescent="0.2">
      <c r="B21" s="5">
        <v>8</v>
      </c>
      <c r="C21" s="6">
        <f t="shared" si="1"/>
        <v>727272.72727272729</v>
      </c>
      <c r="D21" s="6">
        <f t="shared" si="1"/>
        <v>533333.33333333337</v>
      </c>
      <c r="E21" s="6">
        <f t="shared" si="1"/>
        <v>380952.38095238095</v>
      </c>
      <c r="F21" s="6">
        <f t="shared" si="1"/>
        <v>242424.24242424243</v>
      </c>
      <c r="G21" s="6">
        <f t="shared" si="1"/>
        <v>142857.14285714284</v>
      </c>
      <c r="H21" s="6">
        <f t="shared" si="1"/>
        <v>79207.920792079211</v>
      </c>
      <c r="I21" s="6">
        <f t="shared" si="1"/>
        <v>31250</v>
      </c>
      <c r="J21" s="6">
        <f t="shared" si="1"/>
        <v>12326.656394453004</v>
      </c>
    </row>
    <row r="22" spans="2:10" x14ac:dyDescent="0.2">
      <c r="B22" s="5">
        <v>10</v>
      </c>
      <c r="C22" s="6">
        <f t="shared" si="1"/>
        <v>581818.18181818188</v>
      </c>
      <c r="D22" s="6">
        <f t="shared" si="1"/>
        <v>426666.66666666669</v>
      </c>
      <c r="E22" s="6">
        <f t="shared" si="1"/>
        <v>304761.90476190479</v>
      </c>
      <c r="F22" s="6">
        <f t="shared" si="1"/>
        <v>193939.39393939395</v>
      </c>
      <c r="G22" s="6">
        <f t="shared" si="1"/>
        <v>114285.71428571429</v>
      </c>
      <c r="H22" s="6">
        <f t="shared" si="1"/>
        <v>63366.33663366337</v>
      </c>
      <c r="I22" s="6">
        <f t="shared" si="1"/>
        <v>25000</v>
      </c>
      <c r="J22" s="6">
        <f t="shared" si="1"/>
        <v>9861.3251155624039</v>
      </c>
    </row>
    <row r="23" spans="2:10" x14ac:dyDescent="0.2">
      <c r="B23" s="5">
        <v>12</v>
      </c>
      <c r="C23" s="6">
        <f t="shared" si="1"/>
        <v>484848.4848484848</v>
      </c>
      <c r="D23" s="6">
        <f t="shared" si="1"/>
        <v>355555.5555555555</v>
      </c>
      <c r="E23" s="6">
        <f t="shared" si="1"/>
        <v>253968.25396825396</v>
      </c>
      <c r="F23" s="6">
        <f t="shared" si="1"/>
        <v>161616.16161616161</v>
      </c>
      <c r="G23" s="6">
        <f t="shared" si="1"/>
        <v>95238.095238095237</v>
      </c>
      <c r="H23" s="6">
        <f t="shared" si="1"/>
        <v>52805.280528052797</v>
      </c>
      <c r="I23" s="6">
        <f t="shared" si="1"/>
        <v>20833.333333333332</v>
      </c>
      <c r="J23" s="6">
        <f t="shared" si="1"/>
        <v>8217.7709296353369</v>
      </c>
    </row>
    <row r="24" spans="2:10" x14ac:dyDescent="0.2">
      <c r="B24" s="5">
        <v>16</v>
      </c>
      <c r="C24" s="6">
        <f t="shared" si="1"/>
        <v>363636.36363636365</v>
      </c>
      <c r="D24" s="6">
        <f t="shared" si="1"/>
        <v>266666.66666666669</v>
      </c>
      <c r="E24" s="6">
        <f t="shared" si="1"/>
        <v>190476.19047619047</v>
      </c>
      <c r="F24" s="6">
        <f t="shared" si="1"/>
        <v>121212.12121212122</v>
      </c>
      <c r="G24" s="6">
        <f t="shared" si="1"/>
        <v>71428.57142857142</v>
      </c>
      <c r="H24" s="6">
        <f t="shared" si="1"/>
        <v>39603.960396039605</v>
      </c>
      <c r="I24" s="6">
        <f t="shared" si="1"/>
        <v>15625</v>
      </c>
      <c r="J24" s="6">
        <f t="shared" si="1"/>
        <v>6163.3281972265022</v>
      </c>
    </row>
    <row r="25" spans="2:10" x14ac:dyDescent="0.2">
      <c r="B25" s="5">
        <v>32</v>
      </c>
      <c r="C25" s="6">
        <f t="shared" si="1"/>
        <v>181818.18181818182</v>
      </c>
      <c r="D25" s="6">
        <f t="shared" si="1"/>
        <v>133333.33333333334</v>
      </c>
      <c r="E25" s="6">
        <f t="shared" si="1"/>
        <v>95238.095238095237</v>
      </c>
      <c r="F25" s="6">
        <f t="shared" si="1"/>
        <v>60606.060606060608</v>
      </c>
      <c r="G25" s="6">
        <f t="shared" si="1"/>
        <v>35714.28571428571</v>
      </c>
      <c r="H25" s="6">
        <f t="shared" si="1"/>
        <v>19801.980198019803</v>
      </c>
      <c r="I25" s="6">
        <f t="shared" si="1"/>
        <v>7812.5</v>
      </c>
      <c r="J25" s="6">
        <f t="shared" si="1"/>
        <v>3081.6640986132511</v>
      </c>
    </row>
    <row r="26" spans="2:10" x14ac:dyDescent="0.2">
      <c r="B26" s="5">
        <v>64</v>
      </c>
      <c r="C26" s="6">
        <f t="shared" si="1"/>
        <v>90909.090909090912</v>
      </c>
      <c r="D26" s="6">
        <f t="shared" si="1"/>
        <v>66666.666666666672</v>
      </c>
      <c r="E26" s="6">
        <f t="shared" si="1"/>
        <v>47619.047619047618</v>
      </c>
      <c r="F26" s="6">
        <f t="shared" si="1"/>
        <v>30303.030303030304</v>
      </c>
      <c r="G26" s="6">
        <f t="shared" si="1"/>
        <v>17857.142857142855</v>
      </c>
      <c r="H26" s="6">
        <f t="shared" si="1"/>
        <v>9900.9900990099013</v>
      </c>
      <c r="I26" s="6">
        <f t="shared" si="1"/>
        <v>3906.25</v>
      </c>
      <c r="J26" s="6">
        <f t="shared" si="1"/>
        <v>1540.8320493066255</v>
      </c>
    </row>
    <row r="27" spans="2:10" x14ac:dyDescent="0.2">
      <c r="B27" s="5">
        <v>128</v>
      </c>
      <c r="C27" s="6">
        <f t="shared" si="1"/>
        <v>45454.545454545456</v>
      </c>
      <c r="D27" s="6">
        <f t="shared" si="1"/>
        <v>33333.333333333336</v>
      </c>
      <c r="E27" s="6">
        <f t="shared" si="1"/>
        <v>23809.523809523809</v>
      </c>
      <c r="F27" s="6">
        <f t="shared" si="1"/>
        <v>15151.515151515152</v>
      </c>
      <c r="G27" s="6">
        <f t="shared" si="1"/>
        <v>8928.5714285714275</v>
      </c>
      <c r="H27" s="6">
        <f t="shared" si="1"/>
        <v>4950.4950495049507</v>
      </c>
      <c r="I27" s="6">
        <f t="shared" si="1"/>
        <v>1953.125</v>
      </c>
      <c r="J27" s="6">
        <f t="shared" si="1"/>
        <v>770.41602465331277</v>
      </c>
    </row>
    <row r="28" spans="2:10" x14ac:dyDescent="0.2">
      <c r="B28" s="5">
        <v>256</v>
      </c>
      <c r="C28" s="6">
        <f>$J$1/$B28/(C$16+$M$1)*1000000</f>
        <v>22727.272727272728</v>
      </c>
      <c r="D28" s="6">
        <f t="shared" si="1"/>
        <v>16666.666666666668</v>
      </c>
      <c r="E28" s="6">
        <f t="shared" si="1"/>
        <v>11904.761904761905</v>
      </c>
      <c r="F28" s="6">
        <f t="shared" si="1"/>
        <v>7575.757575757576</v>
      </c>
      <c r="G28" s="6">
        <f t="shared" si="1"/>
        <v>4464.2857142857138</v>
      </c>
      <c r="H28" s="6">
        <f t="shared" si="1"/>
        <v>2475.2475247524753</v>
      </c>
      <c r="I28" s="6">
        <f t="shared" si="1"/>
        <v>976.5625</v>
      </c>
      <c r="J28" s="6">
        <f>$J$1/$B28/(J$16+$M$1)*1000000</f>
        <v>385.20801232665639</v>
      </c>
    </row>
  </sheetData>
  <dataValidations count="3">
    <dataValidation type="list" allowBlank="1" showInputMessage="1" showErrorMessage="1" sqref="J2:K2" xr:uid="{10988DD2-C432-2B45-A922-28F83432F4AE}">
      <formula1>INDIRECT("Table1[Clock Prescaler]")</formula1>
    </dataValidation>
    <dataValidation type="list" allowBlank="1" showInputMessage="1" showErrorMessage="1" sqref="J3:K3" xr:uid="{FDA1D030-6420-F04C-B56B-1A1DEF73B0D2}">
      <formula1>INDIRECT("Table2[Sampling Time (Cycle)]")</formula1>
    </dataValidation>
    <dataValidation type="list" allowBlank="1" showInputMessage="1" showErrorMessage="1" sqref="J4:K4" xr:uid="{146469E4-84F3-124D-89A6-78EDDFD22EEC}">
      <formula1>INDIRECT("Table3[Resolution]")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2023-08-03T16:56:00Z</dcterms:created>
  <dcterms:modified xsi:type="dcterms:W3CDTF">2024-03-07T15:20:09Z</dcterms:modified>
</cp:coreProperties>
</file>